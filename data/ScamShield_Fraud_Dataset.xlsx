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98c3625706a5f7a/Desktop/scamshield-ai/data/"/>
    </mc:Choice>
  </mc:AlternateContent>
  <xr:revisionPtr revIDLastSave="11" documentId="11_40E57FFDDF961E6A82CF43828B35B8039144565D" xr6:coauthVersionLast="47" xr6:coauthVersionMax="47" xr10:uidLastSave="{7ED24F95-D21B-46AC-86F1-3FD7D30346B8}"/>
  <bookViews>
    <workbookView xWindow="-108" yWindow="-108" windowWidth="23256" windowHeight="13896" activeTab="1" xr2:uid="{00000000-000D-0000-FFFF-FFFF00000000}"/>
  </bookViews>
  <sheets>
    <sheet name="Messages" sheetId="1" r:id="rId1"/>
    <sheet name="Keywords" sheetId="2" r:id="rId2"/>
    <sheet name="Sheet1" sheetId="6" r:id="rId3"/>
    <sheet name="Test Results" sheetId="3" r:id="rId4"/>
    <sheet name="Dashboard" sheetId="4" r:id="rId5"/>
    <sheet name="Read M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E7" i="4"/>
  <c r="E6" i="4"/>
  <c r="B6" i="4"/>
  <c r="B7" i="4" s="1"/>
  <c r="E5" i="4"/>
  <c r="B5" i="4"/>
  <c r="E4" i="4"/>
  <c r="B4" i="4"/>
  <c r="E3" i="4"/>
  <c r="B3" i="4"/>
  <c r="E2" i="4"/>
  <c r="B2" i="4"/>
  <c r="F31" i="3"/>
  <c r="E31" i="3"/>
  <c r="F30" i="3"/>
  <c r="B8" i="4" s="1"/>
  <c r="B9" i="4" s="1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</calcChain>
</file>

<file path=xl/sharedStrings.xml><?xml version="1.0" encoding="utf-8"?>
<sst xmlns="http://schemas.openxmlformats.org/spreadsheetml/2006/main" count="628" uniqueCount="248">
  <si>
    <t>Message ID</t>
  </si>
  <si>
    <t>Message Text (synthetic)</t>
  </si>
  <si>
    <t>Category</t>
  </si>
  <si>
    <t>Ground Truth</t>
  </si>
  <si>
    <t>Signals / Rationale</t>
  </si>
  <si>
    <t>Language</t>
  </si>
  <si>
    <t>Source Type</t>
  </si>
  <si>
    <t>Privacy Checked</t>
  </si>
  <si>
    <t>Review Status</t>
  </si>
  <si>
    <t>Notes</t>
  </si>
  <si>
    <t>MSG001</t>
  </si>
  <si>
    <t>Your bank account will be blocked today. Share your OTP immediately to verify.</t>
  </si>
  <si>
    <t>Banking</t>
  </si>
  <si>
    <t>Scam</t>
  </si>
  <si>
    <t>OTP request; urgency</t>
  </si>
  <si>
    <t>English</t>
  </si>
  <si>
    <t>Synthetic</t>
  </si>
  <si>
    <t>Yes</t>
  </si>
  <si>
    <t>Reviewed</t>
  </si>
  <si>
    <t>Illustrative only; not a verified incident</t>
  </si>
  <si>
    <t>MSG002</t>
  </si>
  <si>
    <t>KYC update pending. Send your one-time password to avoid account suspension.</t>
  </si>
  <si>
    <t>Credential request; impersonation</t>
  </si>
  <si>
    <t>MSG003</t>
  </si>
  <si>
    <t>Dear customer, confirm your ATM PIN with our agent to restore banking access.</t>
  </si>
  <si>
    <t>PIN request; impersonation</t>
  </si>
  <si>
    <t>MSG004</t>
  </si>
  <si>
    <t>Your savings account is frozen. Reply with your password to unlock it.</t>
  </si>
  <si>
    <t>Password request; urgency</t>
  </si>
  <si>
    <t>MSG005</t>
  </si>
  <si>
    <t>Bank verification failed. Transfer Rs 250 as an activation charge today.</t>
  </si>
  <si>
    <t>Advance fee; impersonation</t>
  </si>
  <si>
    <t>MSG006</t>
  </si>
  <si>
    <t>To receive your refund, enter your UPI PIN in the payment request.</t>
  </si>
  <si>
    <t>UPI</t>
  </si>
  <si>
    <t>UPI PIN; refund pretext</t>
  </si>
  <si>
    <t>MSG007</t>
  </si>
  <si>
    <t>You won a cashback reward. Approve the collect request to claim Rs 5000.</t>
  </si>
  <si>
    <t>Collect request; prize pretext</t>
  </si>
  <si>
    <t>MSG008</t>
  </si>
  <si>
    <t>Please send Rs 100 to verify your UPI account and get the full refund.</t>
  </si>
  <si>
    <t>Advance payment; refund pretext</t>
  </si>
  <si>
    <t>MSG009</t>
  </si>
  <si>
    <t>A customer sent you money by mistake. Scan this payment QR to receive the reversal.</t>
  </si>
  <si>
    <t>QR manipulation; payment confusion</t>
  </si>
  <si>
    <t>MSG010</t>
  </si>
  <si>
    <t>Aapka refund ready hai. UPI PIN share karo abhi.</t>
  </si>
  <si>
    <t>UPI PIN; urgency</t>
  </si>
  <si>
    <t>Hinglish</t>
  </si>
  <si>
    <t>MSG011</t>
  </si>
  <si>
    <t>Congratulations, you are selected for a remote job. Pay Rs 999 registration fee today.</t>
  </si>
  <si>
    <t>Jobs</t>
  </si>
  <si>
    <t>Job advance fee</t>
  </si>
  <si>
    <t>MSG012</t>
  </si>
  <si>
    <t>HR here. Deposit Rs 1500 training fee before we release your offer letter.</t>
  </si>
  <si>
    <t>Job advance fee; impersonation</t>
  </si>
  <si>
    <t>MSG013</t>
  </si>
  <si>
    <t>Work from home and earn Rs 8000 daily. First pay Rs 499 to activate tasks.</t>
  </si>
  <si>
    <t>Unrealistic earnings; advance fee</t>
  </si>
  <si>
    <t>MSG014</t>
  </si>
  <si>
    <t>Your interview is confirmed only after you transfer Rs 2000 to our recruiter.</t>
  </si>
  <si>
    <t>Interview payment demand</t>
  </si>
  <si>
    <t>MSG015</t>
  </si>
  <si>
    <t>Naukri pakki hai, pehle joining fee bhejo, offer letter baad mein.</t>
  </si>
  <si>
    <t>MSG016</t>
  </si>
  <si>
    <t>Guaranteed 20 percent daily profit. Send your investment today before the offer expires.</t>
  </si>
  <si>
    <t>Investment</t>
  </si>
  <si>
    <t>Guaranteed returns; urgency</t>
  </si>
  <si>
    <t>MSG017</t>
  </si>
  <si>
    <t>Our VIP trading group doubles your money in one week. Transfer Rs 5000 now.</t>
  </si>
  <si>
    <t>Unrealistic returns; advance payment</t>
  </si>
  <si>
    <t>MSG018</t>
  </si>
  <si>
    <t>Invest Rs 1000 today and withdraw Rs 10000 tomorrow. Limited slots.</t>
  </si>
  <si>
    <t>Unrealistic returns; urgency</t>
  </si>
  <si>
    <t>MSG019</t>
  </si>
  <si>
    <t>A celebrity-backed scheme guarantees risk-free profits if you deposit now.</t>
  </si>
  <si>
    <t>Impersonation; guaranteed returns</t>
  </si>
  <si>
    <t>MSG020</t>
  </si>
  <si>
    <t>Your parcel is held. Pay Rs 25 redelivery fee using the link in this message.</t>
  </si>
  <si>
    <t>Delivery</t>
  </si>
  <si>
    <t>Small fee; delivery pretext</t>
  </si>
  <si>
    <t>MSG021</t>
  </si>
  <si>
    <t>Your monthly account statement is available in your bank app. Do not share your OTP.</t>
  </si>
  <si>
    <t>Legitimate</t>
  </si>
  <si>
    <t>Routine notice; safety reminder</t>
  </si>
  <si>
    <t>MSG022</t>
  </si>
  <si>
    <t>Never share your OTP or PIN with anyone. This is a security reminder.</t>
  </si>
  <si>
    <t>Security education</t>
  </si>
  <si>
    <t>MSG023</t>
  </si>
  <si>
    <t>Your UPI payment of Rs 250 was successful. Check your app for details.</t>
  </si>
  <si>
    <t>Transaction notification</t>
  </si>
  <si>
    <t>MSG024</t>
  </si>
  <si>
    <t>Your refund has been processed. No action is required.</t>
  </si>
  <si>
    <t>Routine refund notice</t>
  </si>
  <si>
    <t>MSG025</t>
  </si>
  <si>
    <t>Your interview is scheduled for Monday at 11 AM. Please join using the calendar invitation.</t>
  </si>
  <si>
    <t>Interview scheduling</t>
  </si>
  <si>
    <t>MSG026</t>
  </si>
  <si>
    <t>Thank you for applying. Our recruitment team will review your resume.</t>
  </si>
  <si>
    <t>Application acknowledgement</t>
  </si>
  <si>
    <t>MSG027</t>
  </si>
  <si>
    <t>Investment returns are subject to market risks. Read all documents carefully.</t>
  </si>
  <si>
    <t>Risk disclosure</t>
  </si>
  <si>
    <t>MSG028</t>
  </si>
  <si>
    <t>Your order has been dispatched and should arrive by Friday.</t>
  </si>
  <si>
    <t>Shopping</t>
  </si>
  <si>
    <t>Order update</t>
  </si>
  <si>
    <t>MSG029</t>
  </si>
  <si>
    <t>Hi, our badminton practice starts at 7 PM tomorrow.</t>
  </si>
  <si>
    <t>Personal</t>
  </si>
  <si>
    <t>Personal scheduling</t>
  </si>
  <si>
    <t>MSG030</t>
  </si>
  <si>
    <t>Please contact our support team to update your account information.</t>
  </si>
  <si>
    <t>Uncertain</t>
  </si>
  <si>
    <t>Insufficient context</t>
  </si>
  <si>
    <t>Pattern Name</t>
  </si>
  <si>
    <t>Example Phrase</t>
  </si>
  <si>
    <t>Default Concern</t>
  </si>
  <si>
    <t>Why It Matters</t>
  </si>
  <si>
    <t>False-positive Caveat</t>
  </si>
  <si>
    <t>OTP share request</t>
  </si>
  <si>
    <t>share your OTP</t>
  </si>
  <si>
    <t>High</t>
  </si>
  <si>
    <t>Request for authentication code</t>
  </si>
  <si>
    <t>Not every OTP mention is malicious</t>
  </si>
  <si>
    <t>PIN disclosure</t>
  </si>
  <si>
    <t>share your PIN</t>
  </si>
  <si>
    <t>Requests sensitive PIN</t>
  </si>
  <si>
    <t>Distinguish warnings from requests</t>
  </si>
  <si>
    <t>UPI PIN</t>
  </si>
  <si>
    <t>PIN used to authorize payments</t>
  </si>
  <si>
    <t>Context matters</t>
  </si>
  <si>
    <t>Registration fee</t>
  </si>
  <si>
    <t>registration fee</t>
  </si>
  <si>
    <t>Review</t>
  </si>
  <si>
    <t>Upfront fee associated with job</t>
  </si>
  <si>
    <t>Some legitimate fees exist</t>
  </si>
  <si>
    <t>Joining fee</t>
  </si>
  <si>
    <t>joining fee</t>
  </si>
  <si>
    <t>Job onboarding payment request</t>
  </si>
  <si>
    <t>Verify independently</t>
  </si>
  <si>
    <t>Training fee</t>
  </si>
  <si>
    <t>training fee</t>
  </si>
  <si>
    <t>Potential employment advance fee</t>
  </si>
  <si>
    <t>Guaranteed profit</t>
  </si>
  <si>
    <t>guaranteed profit</t>
  </si>
  <si>
    <t>Unrealistic investment assurance</t>
  </si>
  <si>
    <t>Verify regulated disclosures</t>
  </si>
  <si>
    <t>Risk-free returns</t>
  </si>
  <si>
    <t>risk-free</t>
  </si>
  <si>
    <t>Claims absence of investment risk</t>
  </si>
  <si>
    <t>Account blocked</t>
  </si>
  <si>
    <t>account blocked</t>
  </si>
  <si>
    <t>Urgency and account threat</t>
  </si>
  <si>
    <t>Could be a warning</t>
  </si>
  <si>
    <t>Immediately</t>
  </si>
  <si>
    <t>General</t>
  </si>
  <si>
    <t>immediately</t>
  </si>
  <si>
    <t>Urgency cue</t>
  </si>
  <si>
    <t>Often appears legitimately</t>
  </si>
  <si>
    <t>Expected Label</t>
  </si>
  <si>
    <t>Rule Prediction</t>
  </si>
  <si>
    <t>Gemma Prediction</t>
  </si>
  <si>
    <t>Rule Correct?</t>
  </si>
  <si>
    <t>Gemma Correct?</t>
  </si>
  <si>
    <t>AI Explanation Notes</t>
  </si>
  <si>
    <t>Test Status</t>
  </si>
  <si>
    <t>Not Run</t>
  </si>
  <si>
    <t>SCAMSHIELD AI — DATASET OVERVIEW</t>
  </si>
  <si>
    <t>Value</t>
  </si>
  <si>
    <t>Count</t>
  </si>
  <si>
    <t>Total messages</t>
  </si>
  <si>
    <t>Scam examples</t>
  </si>
  <si>
    <t>Legitimate examples</t>
  </si>
  <si>
    <t>Uncertain examples</t>
  </si>
  <si>
    <t>Rule tests completed</t>
  </si>
  <si>
    <t>Rule accuracy (tested)</t>
  </si>
  <si>
    <t>Gemma tests completed</t>
  </si>
  <si>
    <t>Gemma accuracy (tested)</t>
  </si>
  <si>
    <t>ScamShield AI — Dataset Guide</t>
  </si>
  <si>
    <t>Instructions</t>
  </si>
  <si>
    <t>Purpose</t>
  </si>
  <si>
    <t>Synthetic examples for developing and testing a fraud-awareness MVP.</t>
  </si>
  <si>
    <t>Messages</t>
  </si>
  <si>
    <t>Add messages and label Scam, Legitimate, or Uncertain; record provenance.</t>
  </si>
  <si>
    <t>Keywords</t>
  </si>
  <si>
    <t>Treat phrases as signals, not definitive fraud labels.</t>
  </si>
  <si>
    <t>Test Results</t>
  </si>
  <si>
    <t>Enter exact predicted labels; accuracy updates automatically.</t>
  </si>
  <si>
    <t>Privacy</t>
  </si>
  <si>
    <t>Do not add real OTPs, PINs, account details, phone numbers, or victim identifiers.</t>
  </si>
  <si>
    <t>AI usage</t>
  </si>
  <si>
    <t>Excel does not train Gemma automatically. Use labeled examples for evaluation.</t>
  </si>
  <si>
    <t>Data quality</t>
  </si>
  <si>
    <t>Keep synthetic and verified real-world sources clearly separated.</t>
  </si>
  <si>
    <t>Sharing</t>
  </si>
  <si>
    <t>Review and sanitize all data before publishing this workbook on GitHub.</t>
  </si>
  <si>
    <t>OTP disclosure</t>
  </si>
  <si>
    <t>send your one-time password</t>
  </si>
  <si>
    <t>ATM PIN request</t>
  </si>
  <si>
    <t>confirm your ATM PIN</t>
  </si>
  <si>
    <t>Password request</t>
  </si>
  <si>
    <t>reply with your password</t>
  </si>
  <si>
    <t>Account activation charge</t>
  </si>
  <si>
    <t>activation charge</t>
  </si>
  <si>
    <t>UPI verification payment</t>
  </si>
  <si>
    <t>verify your UPI account</t>
  </si>
  <si>
    <t>Collect request</t>
  </si>
  <si>
    <t>approve the collect request</t>
  </si>
  <si>
    <t>Payment QR</t>
  </si>
  <si>
    <t>scan this payment QR</t>
  </si>
  <si>
    <t>Task activation</t>
  </si>
  <si>
    <t>activate tasks</t>
  </si>
  <si>
    <t>Recruiter transfer</t>
  </si>
  <si>
    <t>transfer Rs 2000</t>
  </si>
  <si>
    <t>guaranteed 20 percent daily profit</t>
  </si>
  <si>
    <t>Double money</t>
  </si>
  <si>
    <t>doubles your money</t>
  </si>
  <si>
    <t>Investment urgency</t>
  </si>
  <si>
    <t>limited slots</t>
  </si>
  <si>
    <t>Redelivery fee</t>
  </si>
  <si>
    <t>redelivery fee</t>
  </si>
  <si>
    <t>Requests a confidential authentication code that could enable account takeover</t>
  </si>
  <si>
    <t>A security advisory might quote this phrase</t>
  </si>
  <si>
    <t>Requests disclosure of a sensitive banking PIN</t>
  </si>
  <si>
    <t>Educational warnings may mention PIN requests</t>
  </si>
  <si>
    <t>Requests credentials through an insecure messaging channel</t>
  </si>
  <si>
    <t>Safety notices may quote phishing wording</t>
  </si>
  <si>
    <t>Requests payment to activate or restore banking access</t>
  </si>
  <si>
    <t>Some genuine products have service charges</t>
  </si>
  <si>
    <t>May pressure users into unnecessary verification payments</t>
  </si>
  <si>
    <t>Legitimate providers may request non-payment verification</t>
  </si>
  <si>
    <t>May trick recipients into authorizing a debit</t>
  </si>
  <si>
    <t>Known contacts may send genuine collect requests</t>
  </si>
  <si>
    <t>May initiate a payment rather than receive funds</t>
  </si>
  <si>
    <t>Merchants commonly use QR codes</t>
  </si>
  <si>
    <t>May indicate a task-based advance-fee job scam</t>
  </si>
  <si>
    <t>Legitimate platforms also activate tasks</t>
  </si>
  <si>
    <t>May indicate an advance-fee recruitment scam</t>
  </si>
  <si>
    <t>The amount may appear in unrelated transactions</t>
  </si>
  <si>
    <t>Promises implausibly high guaranteed returns</t>
  </si>
  <si>
    <t>Educational materials may quote such claims</t>
  </si>
  <si>
    <t>Promises unusually high returns</t>
  </si>
  <si>
    <t>May appear in hypothetical examples</t>
  </si>
  <si>
    <t>Creates scarcity pressure</t>
  </si>
  <si>
    <t>Genuine events can have limited availability</t>
  </si>
  <si>
    <t>May impersonate a courier to obtain payment</t>
  </si>
  <si>
    <t>Genuine couriers sometimes charge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</si>
</sst>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14" customWidth="1"/>
    <col min="2" max="2" width="64" customWidth="1"/>
    <col min="3" max="4" width="21" customWidth="1"/>
    <col min="5" max="5" width="33" customWidth="1"/>
    <col min="6" max="9" width="21" customWidth="1"/>
    <col min="10" max="10" width="37" customWidth="1"/>
  </cols>
  <sheetData>
    <row r="1" spans="1:10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30" customHeight="1">
      <c r="A2" t="s">
        <v>10</v>
      </c>
      <c r="B2" s="4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30" customHeight="1">
      <c r="A3" t="s">
        <v>20</v>
      </c>
      <c r="B3" s="4" t="s">
        <v>21</v>
      </c>
      <c r="C3" t="s">
        <v>12</v>
      </c>
      <c r="D3" t="s">
        <v>13</v>
      </c>
      <c r="E3" t="s">
        <v>22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ht="30" customHeight="1">
      <c r="A4" t="s">
        <v>23</v>
      </c>
      <c r="B4" s="4" t="s">
        <v>24</v>
      </c>
      <c r="C4" t="s">
        <v>12</v>
      </c>
      <c r="D4" t="s">
        <v>13</v>
      </c>
      <c r="E4" t="s">
        <v>25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 spans="1:10" ht="30" customHeight="1">
      <c r="A5" t="s">
        <v>26</v>
      </c>
      <c r="B5" s="4" t="s">
        <v>27</v>
      </c>
      <c r="C5" t="s">
        <v>12</v>
      </c>
      <c r="D5" t="s">
        <v>13</v>
      </c>
      <c r="E5" t="s">
        <v>28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</row>
    <row r="6" spans="1:10" ht="30" customHeight="1">
      <c r="A6" t="s">
        <v>29</v>
      </c>
      <c r="B6" s="4" t="s">
        <v>30</v>
      </c>
      <c r="C6" t="s">
        <v>12</v>
      </c>
      <c r="D6" t="s">
        <v>13</v>
      </c>
      <c r="E6" t="s">
        <v>31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</row>
    <row r="7" spans="1:10" ht="30" customHeight="1">
      <c r="A7" t="s">
        <v>32</v>
      </c>
      <c r="B7" s="4" t="s">
        <v>33</v>
      </c>
      <c r="C7" t="s">
        <v>34</v>
      </c>
      <c r="D7" t="s">
        <v>13</v>
      </c>
      <c r="E7" t="s">
        <v>35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</row>
    <row r="8" spans="1:10" ht="30" customHeight="1">
      <c r="A8" t="s">
        <v>36</v>
      </c>
      <c r="B8" s="4" t="s">
        <v>37</v>
      </c>
      <c r="C8" t="s">
        <v>34</v>
      </c>
      <c r="D8" t="s">
        <v>13</v>
      </c>
      <c r="E8" t="s">
        <v>38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 spans="1:10" ht="30" customHeight="1">
      <c r="A9" t="s">
        <v>39</v>
      </c>
      <c r="B9" s="4" t="s">
        <v>40</v>
      </c>
      <c r="C9" t="s">
        <v>34</v>
      </c>
      <c r="D9" t="s">
        <v>13</v>
      </c>
      <c r="E9" t="s">
        <v>41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</row>
    <row r="10" spans="1:10" ht="30" customHeight="1">
      <c r="A10" t="s">
        <v>42</v>
      </c>
      <c r="B10" s="4" t="s">
        <v>43</v>
      </c>
      <c r="C10" t="s">
        <v>34</v>
      </c>
      <c r="D10" t="s">
        <v>13</v>
      </c>
      <c r="E10" t="s">
        <v>44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</row>
    <row r="11" spans="1:10" ht="30" customHeight="1">
      <c r="A11" t="s">
        <v>45</v>
      </c>
      <c r="B11" s="4" t="s">
        <v>46</v>
      </c>
      <c r="C11" t="s">
        <v>34</v>
      </c>
      <c r="D11" t="s">
        <v>13</v>
      </c>
      <c r="E11" t="s">
        <v>47</v>
      </c>
      <c r="F11" t="s">
        <v>48</v>
      </c>
      <c r="G11" t="s">
        <v>16</v>
      </c>
      <c r="H11" t="s">
        <v>17</v>
      </c>
      <c r="I11" t="s">
        <v>18</v>
      </c>
      <c r="J11" t="s">
        <v>19</v>
      </c>
    </row>
    <row r="12" spans="1:10" ht="30" customHeight="1">
      <c r="A12" t="s">
        <v>49</v>
      </c>
      <c r="B12" s="4" t="s">
        <v>50</v>
      </c>
      <c r="C12" t="s">
        <v>51</v>
      </c>
      <c r="D12" t="s">
        <v>13</v>
      </c>
      <c r="E12" t="s">
        <v>52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</row>
    <row r="13" spans="1:10" ht="30" customHeight="1">
      <c r="A13" t="s">
        <v>53</v>
      </c>
      <c r="B13" s="4" t="s">
        <v>54</v>
      </c>
      <c r="C13" t="s">
        <v>51</v>
      </c>
      <c r="D13" t="s">
        <v>13</v>
      </c>
      <c r="E13" t="s">
        <v>55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</row>
    <row r="14" spans="1:10" ht="30" customHeight="1">
      <c r="A14" t="s">
        <v>56</v>
      </c>
      <c r="B14" s="4" t="s">
        <v>57</v>
      </c>
      <c r="C14" t="s">
        <v>51</v>
      </c>
      <c r="D14" t="s">
        <v>13</v>
      </c>
      <c r="E14" t="s">
        <v>58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</row>
    <row r="15" spans="1:10" ht="30" customHeight="1">
      <c r="A15" t="s">
        <v>59</v>
      </c>
      <c r="B15" s="4" t="s">
        <v>60</v>
      </c>
      <c r="C15" t="s">
        <v>51</v>
      </c>
      <c r="D15" t="s">
        <v>13</v>
      </c>
      <c r="E15" t="s">
        <v>61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</row>
    <row r="16" spans="1:10" ht="30" customHeight="1">
      <c r="A16" t="s">
        <v>62</v>
      </c>
      <c r="B16" s="4" t="s">
        <v>63</v>
      </c>
      <c r="C16" t="s">
        <v>51</v>
      </c>
      <c r="D16" t="s">
        <v>13</v>
      </c>
      <c r="E16" t="s">
        <v>52</v>
      </c>
      <c r="F16" t="s">
        <v>48</v>
      </c>
      <c r="G16" t="s">
        <v>16</v>
      </c>
      <c r="H16" t="s">
        <v>17</v>
      </c>
      <c r="I16" t="s">
        <v>18</v>
      </c>
      <c r="J16" t="s">
        <v>19</v>
      </c>
    </row>
    <row r="17" spans="1:10" ht="30" customHeight="1">
      <c r="A17" t="s">
        <v>64</v>
      </c>
      <c r="B17" s="4" t="s">
        <v>65</v>
      </c>
      <c r="C17" t="s">
        <v>66</v>
      </c>
      <c r="D17" t="s">
        <v>13</v>
      </c>
      <c r="E17" t="s">
        <v>67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</row>
    <row r="18" spans="1:10" ht="30" customHeight="1">
      <c r="A18" t="s">
        <v>68</v>
      </c>
      <c r="B18" s="4" t="s">
        <v>69</v>
      </c>
      <c r="C18" t="s">
        <v>66</v>
      </c>
      <c r="D18" t="s">
        <v>13</v>
      </c>
      <c r="E18" t="s">
        <v>70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</row>
    <row r="19" spans="1:10" ht="30" customHeight="1">
      <c r="A19" t="s">
        <v>71</v>
      </c>
      <c r="B19" s="4" t="s">
        <v>72</v>
      </c>
      <c r="C19" t="s">
        <v>66</v>
      </c>
      <c r="D19" t="s">
        <v>13</v>
      </c>
      <c r="E19" t="s">
        <v>73</v>
      </c>
      <c r="F19" t="s">
        <v>15</v>
      </c>
      <c r="G19" t="s">
        <v>16</v>
      </c>
      <c r="H19" t="s">
        <v>17</v>
      </c>
      <c r="I19" t="s">
        <v>18</v>
      </c>
      <c r="J19" t="s">
        <v>19</v>
      </c>
    </row>
    <row r="20" spans="1:10" ht="30" customHeight="1">
      <c r="A20" t="s">
        <v>74</v>
      </c>
      <c r="B20" s="4" t="s">
        <v>75</v>
      </c>
      <c r="C20" t="s">
        <v>66</v>
      </c>
      <c r="D20" t="s">
        <v>13</v>
      </c>
      <c r="E20" t="s">
        <v>76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</row>
    <row r="21" spans="1:10" ht="30" customHeight="1">
      <c r="A21" t="s">
        <v>77</v>
      </c>
      <c r="B21" s="4" t="s">
        <v>78</v>
      </c>
      <c r="C21" t="s">
        <v>79</v>
      </c>
      <c r="D21" t="s">
        <v>13</v>
      </c>
      <c r="E21" t="s">
        <v>80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</row>
    <row r="22" spans="1:10" ht="30" customHeight="1">
      <c r="A22" t="s">
        <v>81</v>
      </c>
      <c r="B22" s="4" t="s">
        <v>82</v>
      </c>
      <c r="C22" t="s">
        <v>12</v>
      </c>
      <c r="D22" t="s">
        <v>83</v>
      </c>
      <c r="E22" t="s">
        <v>84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</row>
    <row r="23" spans="1:10" ht="30" customHeight="1">
      <c r="A23" t="s">
        <v>85</v>
      </c>
      <c r="B23" s="4" t="s">
        <v>86</v>
      </c>
      <c r="C23" t="s">
        <v>12</v>
      </c>
      <c r="D23" t="s">
        <v>83</v>
      </c>
      <c r="E23" t="s">
        <v>87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</row>
    <row r="24" spans="1:10" ht="30" customHeight="1">
      <c r="A24" t="s">
        <v>88</v>
      </c>
      <c r="B24" s="4" t="s">
        <v>89</v>
      </c>
      <c r="C24" t="s">
        <v>34</v>
      </c>
      <c r="D24" t="s">
        <v>83</v>
      </c>
      <c r="E24" t="s">
        <v>90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</row>
    <row r="25" spans="1:10" ht="30" customHeight="1">
      <c r="A25" t="s">
        <v>91</v>
      </c>
      <c r="B25" s="4" t="s">
        <v>92</v>
      </c>
      <c r="C25" t="s">
        <v>34</v>
      </c>
      <c r="D25" t="s">
        <v>83</v>
      </c>
      <c r="E25" t="s">
        <v>93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</row>
    <row r="26" spans="1:10" ht="30" customHeight="1">
      <c r="A26" t="s">
        <v>94</v>
      </c>
      <c r="B26" s="4" t="s">
        <v>95</v>
      </c>
      <c r="C26" t="s">
        <v>51</v>
      </c>
      <c r="D26" t="s">
        <v>83</v>
      </c>
      <c r="E26" t="s">
        <v>96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</row>
    <row r="27" spans="1:10" ht="30" customHeight="1">
      <c r="A27" t="s">
        <v>97</v>
      </c>
      <c r="B27" s="4" t="s">
        <v>98</v>
      </c>
      <c r="C27" t="s">
        <v>51</v>
      </c>
      <c r="D27" t="s">
        <v>83</v>
      </c>
      <c r="E27" t="s">
        <v>99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</row>
    <row r="28" spans="1:10" ht="30" customHeight="1">
      <c r="A28" t="s">
        <v>100</v>
      </c>
      <c r="B28" s="4" t="s">
        <v>101</v>
      </c>
      <c r="C28" t="s">
        <v>66</v>
      </c>
      <c r="D28" t="s">
        <v>83</v>
      </c>
      <c r="E28" t="s">
        <v>102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</row>
    <row r="29" spans="1:10" ht="30" customHeight="1">
      <c r="A29" t="s">
        <v>103</v>
      </c>
      <c r="B29" s="4" t="s">
        <v>104</v>
      </c>
      <c r="C29" t="s">
        <v>105</v>
      </c>
      <c r="D29" t="s">
        <v>83</v>
      </c>
      <c r="E29" t="s">
        <v>106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</row>
    <row r="30" spans="1:10" ht="30" customHeight="1">
      <c r="A30" t="s">
        <v>107</v>
      </c>
      <c r="B30" s="4" t="s">
        <v>108</v>
      </c>
      <c r="C30" t="s">
        <v>109</v>
      </c>
      <c r="D30" t="s">
        <v>83</v>
      </c>
      <c r="E30" t="s">
        <v>110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</row>
    <row r="31" spans="1:10" ht="30" customHeight="1">
      <c r="A31" t="s">
        <v>111</v>
      </c>
      <c r="B31" s="4" t="s">
        <v>112</v>
      </c>
      <c r="C31" t="s">
        <v>12</v>
      </c>
      <c r="D31" t="s">
        <v>113</v>
      </c>
      <c r="E31" t="s">
        <v>114</v>
      </c>
      <c r="F31" t="s">
        <v>15</v>
      </c>
      <c r="G31" t="s">
        <v>16</v>
      </c>
      <c r="H31" t="s">
        <v>17</v>
      </c>
      <c r="I31" t="s">
        <v>18</v>
      </c>
      <c r="J31" t="s">
        <v>19</v>
      </c>
    </row>
  </sheetData>
  <dataValidations count="2">
    <dataValidation type="list" sqref="D2:D500" xr:uid="{00000000-0002-0000-0000-000000000000}">
      <formula1>"Scam,Legitimate,Uncertain"</formula1>
    </dataValidation>
    <dataValidation type="list" sqref="I2:I500" xr:uid="{00000000-0002-0000-0000-000001000000}">
      <formula1>"Reviewed,Needs Review,Unreviewed"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abSelected="1" topLeftCell="B1" workbookViewId="0">
      <pane ySplit="1" topLeftCell="A2" activePane="bottomLeft" state="frozen"/>
      <selection pane="bottomLeft" activeCell="E14" sqref="E14"/>
    </sheetView>
  </sheetViews>
  <sheetFormatPr defaultRowHeight="13.8"/>
  <cols>
    <col min="1" max="4" width="25" customWidth="1"/>
    <col min="5" max="6" width="43" customWidth="1"/>
  </cols>
  <sheetData>
    <row r="1" spans="1:6" ht="30" customHeight="1">
      <c r="A1" s="3" t="s">
        <v>115</v>
      </c>
      <c r="B1" s="3" t="s">
        <v>2</v>
      </c>
      <c r="C1" s="3" t="s">
        <v>116</v>
      </c>
      <c r="D1" s="3" t="s">
        <v>117</v>
      </c>
      <c r="E1" s="3" t="s">
        <v>118</v>
      </c>
      <c r="F1" s="3" t="s">
        <v>119</v>
      </c>
    </row>
    <row r="2" spans="1:6">
      <c r="A2" t="s">
        <v>120</v>
      </c>
      <c r="B2" t="s">
        <v>12</v>
      </c>
      <c r="C2" t="s">
        <v>121</v>
      </c>
      <c r="D2" t="s">
        <v>122</v>
      </c>
      <c r="E2" t="s">
        <v>123</v>
      </c>
      <c r="F2" t="s">
        <v>124</v>
      </c>
    </row>
    <row r="3" spans="1:6">
      <c r="A3" t="s">
        <v>125</v>
      </c>
      <c r="B3" t="s">
        <v>12</v>
      </c>
      <c r="C3" t="s">
        <v>126</v>
      </c>
      <c r="D3" t="s">
        <v>122</v>
      </c>
      <c r="E3" t="s">
        <v>127</v>
      </c>
      <c r="F3" t="s">
        <v>128</v>
      </c>
    </row>
    <row r="4" spans="1:6">
      <c r="A4" t="s">
        <v>129</v>
      </c>
      <c r="B4" t="s">
        <v>34</v>
      </c>
      <c r="C4" t="s">
        <v>129</v>
      </c>
      <c r="D4" t="s">
        <v>122</v>
      </c>
      <c r="E4" t="s">
        <v>130</v>
      </c>
      <c r="F4" t="s">
        <v>131</v>
      </c>
    </row>
    <row r="5" spans="1:6">
      <c r="A5" t="s">
        <v>132</v>
      </c>
      <c r="B5" t="s">
        <v>51</v>
      </c>
      <c r="C5" t="s">
        <v>133</v>
      </c>
      <c r="D5" t="s">
        <v>134</v>
      </c>
      <c r="E5" t="s">
        <v>135</v>
      </c>
      <c r="F5" t="s">
        <v>136</v>
      </c>
    </row>
    <row r="6" spans="1:6">
      <c r="A6" t="s">
        <v>137</v>
      </c>
      <c r="B6" t="s">
        <v>51</v>
      </c>
      <c r="C6" t="s">
        <v>138</v>
      </c>
      <c r="D6" t="s">
        <v>134</v>
      </c>
      <c r="E6" t="s">
        <v>139</v>
      </c>
      <c r="F6" t="s">
        <v>140</v>
      </c>
    </row>
    <row r="7" spans="1:6">
      <c r="A7" t="s">
        <v>141</v>
      </c>
      <c r="B7" t="s">
        <v>51</v>
      </c>
      <c r="C7" t="s">
        <v>142</v>
      </c>
      <c r="D7" t="s">
        <v>134</v>
      </c>
      <c r="E7" t="s">
        <v>143</v>
      </c>
      <c r="F7" t="s">
        <v>131</v>
      </c>
    </row>
    <row r="8" spans="1:6">
      <c r="A8" t="s">
        <v>144</v>
      </c>
      <c r="B8" t="s">
        <v>66</v>
      </c>
      <c r="C8" t="s">
        <v>145</v>
      </c>
      <c r="D8" t="s">
        <v>134</v>
      </c>
      <c r="E8" t="s">
        <v>146</v>
      </c>
      <c r="F8" t="s">
        <v>147</v>
      </c>
    </row>
    <row r="9" spans="1:6">
      <c r="A9" t="s">
        <v>148</v>
      </c>
      <c r="B9" t="s">
        <v>66</v>
      </c>
      <c r="C9" t="s">
        <v>149</v>
      </c>
      <c r="D9" t="s">
        <v>134</v>
      </c>
      <c r="E9" t="s">
        <v>150</v>
      </c>
      <c r="F9" t="s">
        <v>131</v>
      </c>
    </row>
    <row r="10" spans="1:6">
      <c r="A10" t="s">
        <v>151</v>
      </c>
      <c r="B10" t="s">
        <v>12</v>
      </c>
      <c r="C10" t="s">
        <v>152</v>
      </c>
      <c r="D10" t="s">
        <v>134</v>
      </c>
      <c r="E10" t="s">
        <v>153</v>
      </c>
      <c r="F10" t="s">
        <v>154</v>
      </c>
    </row>
    <row r="11" spans="1:6">
      <c r="A11" t="s">
        <v>155</v>
      </c>
      <c r="B11" t="s">
        <v>156</v>
      </c>
      <c r="C11" t="s">
        <v>157</v>
      </c>
      <c r="D11" t="s">
        <v>134</v>
      </c>
      <c r="E11" t="s">
        <v>158</v>
      </c>
      <c r="F11" t="s">
        <v>159</v>
      </c>
    </row>
    <row r="12" spans="1:6" ht="27.6">
      <c r="A12" s="5" t="s">
        <v>197</v>
      </c>
      <c r="B12" s="5" t="s">
        <v>12</v>
      </c>
      <c r="C12" s="5" t="s">
        <v>198</v>
      </c>
      <c r="D12" s="5" t="s">
        <v>122</v>
      </c>
      <c r="E12" s="5" t="s">
        <v>222</v>
      </c>
      <c r="F12" s="5" t="s">
        <v>223</v>
      </c>
    </row>
    <row r="13" spans="1:6">
      <c r="A13" s="5" t="s">
        <v>199</v>
      </c>
      <c r="B13" s="5" t="s">
        <v>12</v>
      </c>
      <c r="C13" s="5" t="s">
        <v>200</v>
      </c>
      <c r="D13" s="5" t="s">
        <v>122</v>
      </c>
      <c r="E13" s="5" t="s">
        <v>224</v>
      </c>
      <c r="F13" s="5" t="s">
        <v>225</v>
      </c>
    </row>
    <row r="14" spans="1:6" ht="27.6">
      <c r="A14" s="5" t="s">
        <v>201</v>
      </c>
      <c r="B14" s="5" t="s">
        <v>12</v>
      </c>
      <c r="C14" s="5" t="s">
        <v>202</v>
      </c>
      <c r="D14" s="5" t="s">
        <v>122</v>
      </c>
      <c r="E14" s="5" t="s">
        <v>226</v>
      </c>
      <c r="F14" s="5" t="s">
        <v>227</v>
      </c>
    </row>
    <row r="15" spans="1:6" ht="27.6">
      <c r="A15" s="5" t="s">
        <v>203</v>
      </c>
      <c r="B15" s="5" t="s">
        <v>12</v>
      </c>
      <c r="C15" s="5" t="s">
        <v>204</v>
      </c>
      <c r="D15" s="5" t="s">
        <v>134</v>
      </c>
      <c r="E15" s="5" t="s">
        <v>228</v>
      </c>
      <c r="F15" s="5" t="s">
        <v>229</v>
      </c>
    </row>
    <row r="16" spans="1:6" ht="27.6">
      <c r="A16" s="5" t="s">
        <v>205</v>
      </c>
      <c r="B16" s="5" t="s">
        <v>34</v>
      </c>
      <c r="C16" s="5" t="s">
        <v>206</v>
      </c>
      <c r="D16" s="5" t="s">
        <v>134</v>
      </c>
      <c r="E16" s="5" t="s">
        <v>230</v>
      </c>
      <c r="F16" s="5" t="s">
        <v>231</v>
      </c>
    </row>
    <row r="17" spans="1:6">
      <c r="A17" s="5" t="s">
        <v>207</v>
      </c>
      <c r="B17" s="5" t="s">
        <v>34</v>
      </c>
      <c r="C17" s="5" t="s">
        <v>208</v>
      </c>
      <c r="D17" s="5" t="s">
        <v>122</v>
      </c>
      <c r="E17" s="5" t="s">
        <v>232</v>
      </c>
      <c r="F17" s="5" t="s">
        <v>233</v>
      </c>
    </row>
    <row r="18" spans="1:6">
      <c r="A18" s="5" t="s">
        <v>209</v>
      </c>
      <c r="B18" s="5" t="s">
        <v>34</v>
      </c>
      <c r="C18" s="5" t="s">
        <v>210</v>
      </c>
      <c r="D18" s="5" t="s">
        <v>134</v>
      </c>
      <c r="E18" s="5" t="s">
        <v>234</v>
      </c>
      <c r="F18" s="5" t="s">
        <v>235</v>
      </c>
    </row>
    <row r="19" spans="1:6">
      <c r="A19" s="5" t="s">
        <v>211</v>
      </c>
      <c r="B19" s="5" t="s">
        <v>51</v>
      </c>
      <c r="C19" s="5" t="s">
        <v>212</v>
      </c>
      <c r="D19" s="5" t="s">
        <v>134</v>
      </c>
      <c r="E19" s="5" t="s">
        <v>236</v>
      </c>
      <c r="F19" s="5" t="s">
        <v>237</v>
      </c>
    </row>
    <row r="20" spans="1:6">
      <c r="A20" s="5" t="s">
        <v>213</v>
      </c>
      <c r="B20" s="5" t="s">
        <v>51</v>
      </c>
      <c r="C20" s="5" t="s">
        <v>214</v>
      </c>
      <c r="D20" s="5" t="s">
        <v>134</v>
      </c>
      <c r="E20" s="5" t="s">
        <v>238</v>
      </c>
      <c r="F20" s="5" t="s">
        <v>239</v>
      </c>
    </row>
    <row r="21" spans="1:6" ht="27.6">
      <c r="A21" s="5" t="s">
        <v>144</v>
      </c>
      <c r="B21" s="5" t="s">
        <v>66</v>
      </c>
      <c r="C21" s="5" t="s">
        <v>215</v>
      </c>
      <c r="D21" s="5" t="s">
        <v>122</v>
      </c>
      <c r="E21" s="5" t="s">
        <v>240</v>
      </c>
      <c r="F21" s="5" t="s">
        <v>241</v>
      </c>
    </row>
    <row r="22" spans="1:6">
      <c r="A22" s="5" t="s">
        <v>216</v>
      </c>
      <c r="B22" s="5" t="s">
        <v>66</v>
      </c>
      <c r="C22" s="5" t="s">
        <v>217</v>
      </c>
      <c r="D22" s="5" t="s">
        <v>122</v>
      </c>
      <c r="E22" s="5" t="s">
        <v>242</v>
      </c>
      <c r="F22" s="5" t="s">
        <v>243</v>
      </c>
    </row>
    <row r="23" spans="1:6">
      <c r="A23" s="5" t="s">
        <v>218</v>
      </c>
      <c r="B23" s="5" t="s">
        <v>66</v>
      </c>
      <c r="C23" s="5" t="s">
        <v>219</v>
      </c>
      <c r="D23" s="5" t="s">
        <v>134</v>
      </c>
      <c r="E23" s="5" t="s">
        <v>244</v>
      </c>
      <c r="F23" s="5" t="s">
        <v>245</v>
      </c>
    </row>
    <row r="24" spans="1:6">
      <c r="A24" s="5" t="s">
        <v>220</v>
      </c>
      <c r="B24" s="5" t="s">
        <v>105</v>
      </c>
      <c r="C24" s="5" t="s">
        <v>221</v>
      </c>
      <c r="D24" s="5" t="s">
        <v>134</v>
      </c>
      <c r="E24" s="5" t="s">
        <v>246</v>
      </c>
      <c r="F24" s="5" t="s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30D6-CC9E-48D6-AC92-7516038E94C0}">
  <dimension ref="A1:C13"/>
  <sheetViews>
    <sheetView topLeftCell="A10" workbookViewId="0">
      <selection activeCell="B1" sqref="B1:C13"/>
    </sheetView>
  </sheetViews>
  <sheetFormatPr defaultRowHeight="13.8"/>
  <cols>
    <col min="2" max="2" width="29.19921875" customWidth="1"/>
  </cols>
  <sheetData>
    <row r="1" spans="1:3" ht="151.80000000000001">
      <c r="A1" s="5" t="s">
        <v>197</v>
      </c>
      <c r="B1" s="5" t="s">
        <v>222</v>
      </c>
      <c r="C1" s="5" t="s">
        <v>223</v>
      </c>
    </row>
    <row r="2" spans="1:3" ht="96.6">
      <c r="A2" s="5" t="s">
        <v>199</v>
      </c>
      <c r="B2" s="5" t="s">
        <v>224</v>
      </c>
      <c r="C2" s="5" t="s">
        <v>225</v>
      </c>
    </row>
    <row r="3" spans="1:3" ht="96.6">
      <c r="A3" s="5" t="s">
        <v>201</v>
      </c>
      <c r="B3" s="5" t="s">
        <v>226</v>
      </c>
      <c r="C3" s="5" t="s">
        <v>227</v>
      </c>
    </row>
    <row r="4" spans="1:3" ht="96.6">
      <c r="A4" s="5" t="s">
        <v>203</v>
      </c>
      <c r="B4" s="5" t="s">
        <v>228</v>
      </c>
      <c r="C4" s="5" t="s">
        <v>229</v>
      </c>
    </row>
    <row r="5" spans="1:3" ht="124.2">
      <c r="A5" s="5" t="s">
        <v>205</v>
      </c>
      <c r="B5" s="5" t="s">
        <v>230</v>
      </c>
      <c r="C5" s="5" t="s">
        <v>231</v>
      </c>
    </row>
    <row r="6" spans="1:3" ht="82.8">
      <c r="A6" s="5" t="s">
        <v>207</v>
      </c>
      <c r="B6" s="5" t="s">
        <v>232</v>
      </c>
      <c r="C6" s="5" t="s">
        <v>233</v>
      </c>
    </row>
    <row r="7" spans="1:3" ht="96.6">
      <c r="A7" s="5" t="s">
        <v>209</v>
      </c>
      <c r="B7" s="5" t="s">
        <v>234</v>
      </c>
      <c r="C7" s="5" t="s">
        <v>235</v>
      </c>
    </row>
    <row r="8" spans="1:3" ht="96.6">
      <c r="A8" s="5" t="s">
        <v>211</v>
      </c>
      <c r="B8" s="5" t="s">
        <v>236</v>
      </c>
      <c r="C8" s="5" t="s">
        <v>237</v>
      </c>
    </row>
    <row r="9" spans="1:3" ht="96.6">
      <c r="A9" s="5" t="s">
        <v>213</v>
      </c>
      <c r="B9" s="5" t="s">
        <v>238</v>
      </c>
      <c r="C9" s="5" t="s">
        <v>239</v>
      </c>
    </row>
    <row r="10" spans="1:3" ht="96.6">
      <c r="A10" s="5" t="s">
        <v>144</v>
      </c>
      <c r="B10" s="5" t="s">
        <v>240</v>
      </c>
      <c r="C10" s="5" t="s">
        <v>241</v>
      </c>
    </row>
    <row r="11" spans="1:3" ht="69">
      <c r="A11" s="5" t="s">
        <v>216</v>
      </c>
      <c r="B11" s="5" t="s">
        <v>242</v>
      </c>
      <c r="C11" s="5" t="s">
        <v>243</v>
      </c>
    </row>
    <row r="12" spans="1:3" ht="82.8">
      <c r="A12" s="5" t="s">
        <v>218</v>
      </c>
      <c r="B12" s="5" t="s">
        <v>244</v>
      </c>
      <c r="C12" s="5" t="s">
        <v>245</v>
      </c>
    </row>
    <row r="13" spans="1:3" ht="82.8">
      <c r="A13" s="5" t="s">
        <v>220</v>
      </c>
      <c r="B13" s="5" t="s">
        <v>246</v>
      </c>
      <c r="C13" s="5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6" width="23" customWidth="1"/>
    <col min="7" max="7" width="48" customWidth="1"/>
    <col min="8" max="8" width="23" customWidth="1"/>
  </cols>
  <sheetData>
    <row r="1" spans="1:8" ht="30" customHeight="1">
      <c r="A1" s="3" t="s">
        <v>0</v>
      </c>
      <c r="B1" s="3" t="s">
        <v>160</v>
      </c>
      <c r="C1" s="3" t="s">
        <v>161</v>
      </c>
      <c r="D1" s="3" t="s">
        <v>162</v>
      </c>
      <c r="E1" s="3" t="s">
        <v>163</v>
      </c>
      <c r="F1" s="3" t="s">
        <v>164</v>
      </c>
      <c r="G1" s="3" t="s">
        <v>165</v>
      </c>
      <c r="H1" s="3" t="s">
        <v>166</v>
      </c>
    </row>
    <row r="2" spans="1:8">
      <c r="A2" t="s">
        <v>10</v>
      </c>
      <c r="B2" t="s">
        <v>13</v>
      </c>
      <c r="E2" t="str">
        <f t="shared" ref="E2:E31" si="0">IF(C2="","",IF(B2=C2,1,0))</f>
        <v/>
      </c>
      <c r="F2" t="str">
        <f t="shared" ref="F2:F31" si="1">IF(D2="","",IF(B2=D2,1,0))</f>
        <v/>
      </c>
      <c r="H2" t="s">
        <v>167</v>
      </c>
    </row>
    <row r="3" spans="1:8">
      <c r="A3" t="s">
        <v>20</v>
      </c>
      <c r="B3" t="s">
        <v>13</v>
      </c>
      <c r="E3" t="str">
        <f t="shared" si="0"/>
        <v/>
      </c>
      <c r="F3" t="str">
        <f t="shared" si="1"/>
        <v/>
      </c>
      <c r="H3" t="s">
        <v>167</v>
      </c>
    </row>
    <row r="4" spans="1:8">
      <c r="A4" t="s">
        <v>23</v>
      </c>
      <c r="B4" t="s">
        <v>13</v>
      </c>
      <c r="E4" t="str">
        <f t="shared" si="0"/>
        <v/>
      </c>
      <c r="F4" t="str">
        <f t="shared" si="1"/>
        <v/>
      </c>
      <c r="H4" t="s">
        <v>167</v>
      </c>
    </row>
    <row r="5" spans="1:8">
      <c r="A5" t="s">
        <v>26</v>
      </c>
      <c r="B5" t="s">
        <v>13</v>
      </c>
      <c r="E5" t="str">
        <f t="shared" si="0"/>
        <v/>
      </c>
      <c r="F5" t="str">
        <f t="shared" si="1"/>
        <v/>
      </c>
      <c r="H5" t="s">
        <v>167</v>
      </c>
    </row>
    <row r="6" spans="1:8">
      <c r="A6" t="s">
        <v>29</v>
      </c>
      <c r="B6" t="s">
        <v>13</v>
      </c>
      <c r="E6" t="str">
        <f t="shared" si="0"/>
        <v/>
      </c>
      <c r="F6" t="str">
        <f t="shared" si="1"/>
        <v/>
      </c>
      <c r="H6" t="s">
        <v>167</v>
      </c>
    </row>
    <row r="7" spans="1:8">
      <c r="A7" t="s">
        <v>32</v>
      </c>
      <c r="B7" t="s">
        <v>13</v>
      </c>
      <c r="E7" t="str">
        <f t="shared" si="0"/>
        <v/>
      </c>
      <c r="F7" t="str">
        <f t="shared" si="1"/>
        <v/>
      </c>
      <c r="H7" t="s">
        <v>167</v>
      </c>
    </row>
    <row r="8" spans="1:8">
      <c r="A8" t="s">
        <v>36</v>
      </c>
      <c r="B8" t="s">
        <v>13</v>
      </c>
      <c r="E8" t="str">
        <f t="shared" si="0"/>
        <v/>
      </c>
      <c r="F8" t="str">
        <f t="shared" si="1"/>
        <v/>
      </c>
      <c r="H8" t="s">
        <v>167</v>
      </c>
    </row>
    <row r="9" spans="1:8">
      <c r="A9" t="s">
        <v>39</v>
      </c>
      <c r="B9" t="s">
        <v>13</v>
      </c>
      <c r="E9" t="str">
        <f t="shared" si="0"/>
        <v/>
      </c>
      <c r="F9" t="str">
        <f t="shared" si="1"/>
        <v/>
      </c>
      <c r="H9" t="s">
        <v>167</v>
      </c>
    </row>
    <row r="10" spans="1:8">
      <c r="A10" t="s">
        <v>42</v>
      </c>
      <c r="B10" t="s">
        <v>13</v>
      </c>
      <c r="E10" t="str">
        <f t="shared" si="0"/>
        <v/>
      </c>
      <c r="F10" t="str">
        <f t="shared" si="1"/>
        <v/>
      </c>
      <c r="H10" t="s">
        <v>167</v>
      </c>
    </row>
    <row r="11" spans="1:8">
      <c r="A11" t="s">
        <v>45</v>
      </c>
      <c r="B11" t="s">
        <v>13</v>
      </c>
      <c r="E11" t="str">
        <f t="shared" si="0"/>
        <v/>
      </c>
      <c r="F11" t="str">
        <f t="shared" si="1"/>
        <v/>
      </c>
      <c r="H11" t="s">
        <v>167</v>
      </c>
    </row>
    <row r="12" spans="1:8">
      <c r="A12" t="s">
        <v>49</v>
      </c>
      <c r="B12" t="s">
        <v>13</v>
      </c>
      <c r="E12" t="str">
        <f t="shared" si="0"/>
        <v/>
      </c>
      <c r="F12" t="str">
        <f t="shared" si="1"/>
        <v/>
      </c>
      <c r="H12" t="s">
        <v>167</v>
      </c>
    </row>
    <row r="13" spans="1:8">
      <c r="A13" t="s">
        <v>53</v>
      </c>
      <c r="B13" t="s">
        <v>13</v>
      </c>
      <c r="E13" t="str">
        <f t="shared" si="0"/>
        <v/>
      </c>
      <c r="F13" t="str">
        <f t="shared" si="1"/>
        <v/>
      </c>
      <c r="H13" t="s">
        <v>167</v>
      </c>
    </row>
    <row r="14" spans="1:8">
      <c r="A14" t="s">
        <v>56</v>
      </c>
      <c r="B14" t="s">
        <v>13</v>
      </c>
      <c r="E14" t="str">
        <f t="shared" si="0"/>
        <v/>
      </c>
      <c r="F14" t="str">
        <f t="shared" si="1"/>
        <v/>
      </c>
      <c r="H14" t="s">
        <v>167</v>
      </c>
    </row>
    <row r="15" spans="1:8">
      <c r="A15" t="s">
        <v>59</v>
      </c>
      <c r="B15" t="s">
        <v>13</v>
      </c>
      <c r="E15" t="str">
        <f t="shared" si="0"/>
        <v/>
      </c>
      <c r="F15" t="str">
        <f t="shared" si="1"/>
        <v/>
      </c>
      <c r="H15" t="s">
        <v>167</v>
      </c>
    </row>
    <row r="16" spans="1:8">
      <c r="A16" t="s">
        <v>62</v>
      </c>
      <c r="B16" t="s">
        <v>13</v>
      </c>
      <c r="E16" t="str">
        <f t="shared" si="0"/>
        <v/>
      </c>
      <c r="F16" t="str">
        <f t="shared" si="1"/>
        <v/>
      </c>
      <c r="H16" t="s">
        <v>167</v>
      </c>
    </row>
    <row r="17" spans="1:8">
      <c r="A17" t="s">
        <v>64</v>
      </c>
      <c r="B17" t="s">
        <v>13</v>
      </c>
      <c r="E17" t="str">
        <f t="shared" si="0"/>
        <v/>
      </c>
      <c r="F17" t="str">
        <f t="shared" si="1"/>
        <v/>
      </c>
      <c r="H17" t="s">
        <v>167</v>
      </c>
    </row>
    <row r="18" spans="1:8">
      <c r="A18" t="s">
        <v>68</v>
      </c>
      <c r="B18" t="s">
        <v>13</v>
      </c>
      <c r="E18" t="str">
        <f t="shared" si="0"/>
        <v/>
      </c>
      <c r="F18" t="str">
        <f t="shared" si="1"/>
        <v/>
      </c>
      <c r="H18" t="s">
        <v>167</v>
      </c>
    </row>
    <row r="19" spans="1:8">
      <c r="A19" t="s">
        <v>71</v>
      </c>
      <c r="B19" t="s">
        <v>13</v>
      </c>
      <c r="E19" t="str">
        <f t="shared" si="0"/>
        <v/>
      </c>
      <c r="F19" t="str">
        <f t="shared" si="1"/>
        <v/>
      </c>
      <c r="H19" t="s">
        <v>167</v>
      </c>
    </row>
    <row r="20" spans="1:8">
      <c r="A20" t="s">
        <v>74</v>
      </c>
      <c r="B20" t="s">
        <v>13</v>
      </c>
      <c r="E20" t="str">
        <f t="shared" si="0"/>
        <v/>
      </c>
      <c r="F20" t="str">
        <f t="shared" si="1"/>
        <v/>
      </c>
      <c r="H20" t="s">
        <v>167</v>
      </c>
    </row>
    <row r="21" spans="1:8">
      <c r="A21" t="s">
        <v>77</v>
      </c>
      <c r="B21" t="s">
        <v>13</v>
      </c>
      <c r="E21" t="str">
        <f t="shared" si="0"/>
        <v/>
      </c>
      <c r="F21" t="str">
        <f t="shared" si="1"/>
        <v/>
      </c>
      <c r="H21" t="s">
        <v>167</v>
      </c>
    </row>
    <row r="22" spans="1:8">
      <c r="A22" t="s">
        <v>81</v>
      </c>
      <c r="B22" t="s">
        <v>83</v>
      </c>
      <c r="E22" t="str">
        <f t="shared" si="0"/>
        <v/>
      </c>
      <c r="F22" t="str">
        <f t="shared" si="1"/>
        <v/>
      </c>
      <c r="H22" t="s">
        <v>167</v>
      </c>
    </row>
    <row r="23" spans="1:8">
      <c r="A23" t="s">
        <v>85</v>
      </c>
      <c r="B23" t="s">
        <v>83</v>
      </c>
      <c r="E23" t="str">
        <f t="shared" si="0"/>
        <v/>
      </c>
      <c r="F23" t="str">
        <f t="shared" si="1"/>
        <v/>
      </c>
      <c r="H23" t="s">
        <v>167</v>
      </c>
    </row>
    <row r="24" spans="1:8">
      <c r="A24" t="s">
        <v>88</v>
      </c>
      <c r="B24" t="s">
        <v>83</v>
      </c>
      <c r="E24" t="str">
        <f t="shared" si="0"/>
        <v/>
      </c>
      <c r="F24" t="str">
        <f t="shared" si="1"/>
        <v/>
      </c>
      <c r="H24" t="s">
        <v>167</v>
      </c>
    </row>
    <row r="25" spans="1:8">
      <c r="A25" t="s">
        <v>91</v>
      </c>
      <c r="B25" t="s">
        <v>83</v>
      </c>
      <c r="E25" t="str">
        <f t="shared" si="0"/>
        <v/>
      </c>
      <c r="F25" t="str">
        <f t="shared" si="1"/>
        <v/>
      </c>
      <c r="H25" t="s">
        <v>167</v>
      </c>
    </row>
    <row r="26" spans="1:8">
      <c r="A26" t="s">
        <v>94</v>
      </c>
      <c r="B26" t="s">
        <v>83</v>
      </c>
      <c r="E26" t="str">
        <f t="shared" si="0"/>
        <v/>
      </c>
      <c r="F26" t="str">
        <f t="shared" si="1"/>
        <v/>
      </c>
      <c r="H26" t="s">
        <v>167</v>
      </c>
    </row>
    <row r="27" spans="1:8">
      <c r="A27" t="s">
        <v>97</v>
      </c>
      <c r="B27" t="s">
        <v>83</v>
      </c>
      <c r="E27" t="str">
        <f t="shared" si="0"/>
        <v/>
      </c>
      <c r="F27" t="str">
        <f t="shared" si="1"/>
        <v/>
      </c>
      <c r="H27" t="s">
        <v>167</v>
      </c>
    </row>
    <row r="28" spans="1:8">
      <c r="A28" t="s">
        <v>100</v>
      </c>
      <c r="B28" t="s">
        <v>83</v>
      </c>
      <c r="E28" t="str">
        <f t="shared" si="0"/>
        <v/>
      </c>
      <c r="F28" t="str">
        <f t="shared" si="1"/>
        <v/>
      </c>
      <c r="H28" t="s">
        <v>167</v>
      </c>
    </row>
    <row r="29" spans="1:8">
      <c r="A29" t="s">
        <v>103</v>
      </c>
      <c r="B29" t="s">
        <v>83</v>
      </c>
      <c r="E29" t="str">
        <f t="shared" si="0"/>
        <v/>
      </c>
      <c r="F29" t="str">
        <f t="shared" si="1"/>
        <v/>
      </c>
      <c r="H29" t="s">
        <v>167</v>
      </c>
    </row>
    <row r="30" spans="1:8">
      <c r="A30" t="s">
        <v>107</v>
      </c>
      <c r="B30" t="s">
        <v>83</v>
      </c>
      <c r="E30" t="str">
        <f t="shared" si="0"/>
        <v/>
      </c>
      <c r="F30" t="str">
        <f t="shared" si="1"/>
        <v/>
      </c>
      <c r="H30" t="s">
        <v>167</v>
      </c>
    </row>
    <row r="31" spans="1:8">
      <c r="A31" t="s">
        <v>111</v>
      </c>
      <c r="B31" t="s">
        <v>113</v>
      </c>
      <c r="E31" t="str">
        <f t="shared" si="0"/>
        <v/>
      </c>
      <c r="F31" t="str">
        <f t="shared" si="1"/>
        <v/>
      </c>
      <c r="H31" t="s">
        <v>167</v>
      </c>
    </row>
  </sheetData>
  <dataValidations count="2">
    <dataValidation type="list" sqref="C2:D500" xr:uid="{00000000-0002-0000-0200-000000000000}">
      <formula1>"Scam,Legitimate,Uncertain"</formula1>
    </dataValidation>
    <dataValidation type="list" sqref="H2:H500" xr:uid="{00000000-0002-0000-0200-000001000000}">
      <formula1>"Not Run,Passed,Needs Review"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32" customWidth="1"/>
    <col min="2" max="2" width="22" customWidth="1"/>
    <col min="4" max="4" width="23" customWidth="1"/>
    <col min="5" max="5" width="15" customWidth="1"/>
  </cols>
  <sheetData>
    <row r="1" spans="1:5" ht="30" customHeight="1">
      <c r="A1" s="3" t="s">
        <v>168</v>
      </c>
      <c r="B1" s="3" t="s">
        <v>169</v>
      </c>
      <c r="D1" s="2" t="s">
        <v>2</v>
      </c>
      <c r="E1" s="2" t="s">
        <v>170</v>
      </c>
    </row>
    <row r="2" spans="1:5">
      <c r="A2" t="s">
        <v>171</v>
      </c>
      <c r="B2">
        <f>COUNTA(Messages!A2:A1000)</f>
        <v>30</v>
      </c>
      <c r="D2" t="s">
        <v>12</v>
      </c>
      <c r="E2">
        <f>COUNTIF(Messages!C2:C1000,D2)</f>
        <v>8</v>
      </c>
    </row>
    <row r="3" spans="1:5">
      <c r="A3" t="s">
        <v>172</v>
      </c>
      <c r="B3">
        <f>COUNTIF(Messages!D2:D1000,"Scam")</f>
        <v>20</v>
      </c>
      <c r="D3" t="s">
        <v>34</v>
      </c>
      <c r="E3">
        <f>COUNTIF(Messages!C2:C1000,D3)</f>
        <v>7</v>
      </c>
    </row>
    <row r="4" spans="1:5">
      <c r="A4" t="s">
        <v>173</v>
      </c>
      <c r="B4">
        <f>COUNTIF(Messages!D2:D1000,"Legitimate")</f>
        <v>9</v>
      </c>
      <c r="D4" t="s">
        <v>51</v>
      </c>
      <c r="E4">
        <f>COUNTIF(Messages!C2:C1000,D4)</f>
        <v>7</v>
      </c>
    </row>
    <row r="5" spans="1:5">
      <c r="A5" t="s">
        <v>174</v>
      </c>
      <c r="B5">
        <f>COUNTIF(Messages!D2:D1000,"Uncertain")</f>
        <v>1</v>
      </c>
      <c r="D5" t="s">
        <v>66</v>
      </c>
      <c r="E5">
        <f>COUNTIF(Messages!C2:C1000,D5)</f>
        <v>5</v>
      </c>
    </row>
    <row r="6" spans="1:5">
      <c r="A6" t="s">
        <v>175</v>
      </c>
      <c r="B6">
        <f>COUNT('Test Results'!E2:E1000)</f>
        <v>0</v>
      </c>
      <c r="D6" t="s">
        <v>79</v>
      </c>
      <c r="E6">
        <f>COUNTIF(Messages!C2:C1000,D6)</f>
        <v>1</v>
      </c>
    </row>
    <row r="7" spans="1:5">
      <c r="A7" t="s">
        <v>176</v>
      </c>
      <c r="B7" s="1">
        <f>IFERROR(SUM('Test Results'!E2:E1000)/B6,0)</f>
        <v>0</v>
      </c>
      <c r="D7" t="s">
        <v>105</v>
      </c>
      <c r="E7">
        <f>COUNTIF(Messages!C2:C1000,D7)</f>
        <v>1</v>
      </c>
    </row>
    <row r="8" spans="1:5">
      <c r="A8" t="s">
        <v>177</v>
      </c>
      <c r="B8">
        <f>COUNT('Test Results'!F2:F1000)</f>
        <v>0</v>
      </c>
      <c r="D8" t="s">
        <v>109</v>
      </c>
      <c r="E8">
        <f>COUNTIF(Messages!C2:C1000,D8)</f>
        <v>1</v>
      </c>
    </row>
    <row r="9" spans="1:5">
      <c r="A9" t="s">
        <v>178</v>
      </c>
      <c r="B9" s="1">
        <f>IFERROR(SUM('Test Results'!F2:F1000)/B8,0)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6" customWidth="1"/>
    <col min="2" max="2" width="100" customWidth="1"/>
  </cols>
  <sheetData>
    <row r="1" spans="1:2" ht="30" customHeight="1">
      <c r="A1" s="3" t="s">
        <v>179</v>
      </c>
      <c r="B1" s="3" t="s">
        <v>180</v>
      </c>
    </row>
    <row r="2" spans="1:2" ht="34.950000000000003" customHeight="1">
      <c r="A2" t="s">
        <v>181</v>
      </c>
      <c r="B2" s="4" t="s">
        <v>182</v>
      </c>
    </row>
    <row r="3" spans="1:2" ht="34.950000000000003" customHeight="1">
      <c r="A3" t="s">
        <v>183</v>
      </c>
      <c r="B3" s="4" t="s">
        <v>184</v>
      </c>
    </row>
    <row r="4" spans="1:2" ht="34.950000000000003" customHeight="1">
      <c r="A4" t="s">
        <v>185</v>
      </c>
      <c r="B4" s="4" t="s">
        <v>186</v>
      </c>
    </row>
    <row r="5" spans="1:2" ht="34.950000000000003" customHeight="1">
      <c r="A5" t="s">
        <v>187</v>
      </c>
      <c r="B5" s="4" t="s">
        <v>188</v>
      </c>
    </row>
    <row r="6" spans="1:2" ht="34.950000000000003" customHeight="1">
      <c r="A6" t="s">
        <v>189</v>
      </c>
      <c r="B6" s="4" t="s">
        <v>190</v>
      </c>
    </row>
    <row r="7" spans="1:2" ht="34.950000000000003" customHeight="1">
      <c r="A7" t="s">
        <v>191</v>
      </c>
      <c r="B7" s="4" t="s">
        <v>192</v>
      </c>
    </row>
    <row r="8" spans="1:2" ht="34.950000000000003" customHeight="1">
      <c r="A8" t="s">
        <v>193</v>
      </c>
      <c r="B8" s="4" t="s">
        <v>194</v>
      </c>
    </row>
    <row r="9" spans="1:2" ht="34.950000000000003" customHeight="1">
      <c r="A9" t="s">
        <v>195</v>
      </c>
      <c r="B9" s="4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Messages</vt:lpstr>
      <vt:lpstr>Keywords</vt:lpstr>
      <vt:lpstr>Sheet1</vt:lpstr>
      <vt:lpstr>Test Results</vt:lpstr>
      <vt:lpstr>Dashboard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nagamohan4262@outlook.com</cp:lastModifiedBy>
  <dcterms:modified xsi:type="dcterms:W3CDTF">2026-10-24T06:40:07Z</dcterms:modified>
</cp:coreProperties>
</file>